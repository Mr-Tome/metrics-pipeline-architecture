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omesIH\Downloads\Metrics Analysis Pipeline\"/>
    </mc:Choice>
  </mc:AlternateContent>
  <xr:revisionPtr revIDLastSave="0" documentId="13_ncr:1_{0FB733CE-B2DD-48D0-B660-17C095E7B7DA}" xr6:coauthVersionLast="47" xr6:coauthVersionMax="47" xr10:uidLastSave="{00000000-0000-0000-0000-000000000000}"/>
  <bookViews>
    <workbookView xWindow="-120" yWindow="270" windowWidth="29040" windowHeight="17130" tabRatio="500" activeTab="3" xr2:uid="{00000000-000D-0000-FFFF-FFFF00000000}"/>
  </bookViews>
  <sheets>
    <sheet name="Summary" sheetId="1" r:id="rId1"/>
    <sheet name="BOM" sheetId="2" r:id="rId2"/>
    <sheet name="Assumptions" sheetId="3" r:id="rId3"/>
    <sheet name="Software"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8" i="2" l="1"/>
  <c r="G18" i="2"/>
  <c r="F18" i="2"/>
  <c r="O16" i="2"/>
  <c r="N16" i="2"/>
  <c r="M16" i="2"/>
  <c r="E16" i="2"/>
  <c r="I16" i="2" s="1"/>
  <c r="L15" i="2"/>
  <c r="N15" i="2" s="1"/>
  <c r="E15" i="2"/>
  <c r="J15" i="2" s="1"/>
  <c r="L14" i="2"/>
  <c r="M14" i="2" s="1"/>
  <c r="O12" i="2"/>
  <c r="N12" i="2"/>
  <c r="M12" i="2"/>
  <c r="E12" i="2"/>
  <c r="J12" i="2" s="1"/>
  <c r="L11" i="2"/>
  <c r="M11" i="2" s="1"/>
  <c r="E11" i="2"/>
  <c r="I11" i="2" s="1"/>
  <c r="L10" i="2"/>
  <c r="O10" i="2" s="1"/>
  <c r="O9" i="2"/>
  <c r="N9" i="2"/>
  <c r="M9" i="2"/>
  <c r="E9" i="2"/>
  <c r="J9" i="2" s="1"/>
  <c r="L8" i="2"/>
  <c r="O8" i="2" s="1"/>
  <c r="E8" i="2"/>
  <c r="J8" i="2" s="1"/>
  <c r="L7" i="2"/>
  <c r="O7" i="2" s="1"/>
  <c r="D15" i="1"/>
  <c r="C15" i="1"/>
  <c r="B15" i="1"/>
  <c r="D14" i="1"/>
  <c r="C14" i="1"/>
  <c r="B14" i="1"/>
  <c r="B27" i="3"/>
  <c r="E10" i="2" s="1"/>
  <c r="B23" i="3"/>
  <c r="E14" i="2" s="1"/>
  <c r="D8" i="3"/>
  <c r="D10" i="3" s="1"/>
  <c r="D12" i="3" s="1"/>
  <c r="H19" i="2" s="1"/>
  <c r="C8" i="3"/>
  <c r="C10" i="3" s="1"/>
  <c r="C12" i="3" s="1"/>
  <c r="G19" i="2" s="1"/>
  <c r="B8" i="3"/>
  <c r="B10" i="3" s="1"/>
  <c r="B12" i="3" s="1"/>
  <c r="F19" i="2" s="1"/>
  <c r="K11" i="2" l="1"/>
  <c r="J11" i="2"/>
  <c r="J16" i="2"/>
  <c r="I12" i="2"/>
  <c r="K12" i="2"/>
  <c r="M7" i="2"/>
  <c r="N7" i="2"/>
  <c r="K15" i="2"/>
  <c r="O15" i="2"/>
  <c r="K8" i="2"/>
  <c r="K16" i="2"/>
  <c r="I8" i="2"/>
  <c r="K14" i="2"/>
  <c r="D8" i="1" s="1"/>
  <c r="J14" i="2"/>
  <c r="C8" i="1" s="1"/>
  <c r="I14" i="2"/>
  <c r="J10" i="2"/>
  <c r="K10" i="2"/>
  <c r="I10" i="2"/>
  <c r="M15" i="2"/>
  <c r="B17" i="1" s="1"/>
  <c r="N11" i="2"/>
  <c r="N8" i="2"/>
  <c r="O11" i="2"/>
  <c r="O17" i="2" s="1"/>
  <c r="M8" i="2"/>
  <c r="K9" i="2"/>
  <c r="I9" i="2"/>
  <c r="E7" i="2"/>
  <c r="M10" i="2"/>
  <c r="N14" i="2"/>
  <c r="C17" i="1" s="1"/>
  <c r="N10" i="2"/>
  <c r="O14" i="2"/>
  <c r="D17" i="1" s="1"/>
  <c r="I15" i="2"/>
  <c r="K7" i="2" l="1"/>
  <c r="I7" i="2"/>
  <c r="J7" i="2"/>
  <c r="N17" i="2"/>
  <c r="C16" i="1"/>
  <c r="B8" i="1"/>
  <c r="M17" i="2"/>
  <c r="B16" i="1"/>
  <c r="D16" i="1"/>
  <c r="J17" i="2" l="1"/>
  <c r="C7" i="1"/>
  <c r="C9" i="1" s="1"/>
  <c r="B7" i="1"/>
  <c r="B9" i="1" s="1"/>
  <c r="I17" i="2"/>
  <c r="D7" i="1"/>
  <c r="D9" i="1" s="1"/>
  <c r="K17" i="2"/>
  <c r="B11" i="1" l="1"/>
  <c r="B12" i="1" s="1"/>
  <c r="D11" i="1"/>
  <c r="D12" i="1"/>
  <c r="C11" i="1"/>
  <c r="C12" i="1" s="1"/>
</calcChain>
</file>

<file path=xl/sharedStrings.xml><?xml version="1.0" encoding="utf-8"?>
<sst xmlns="http://schemas.openxmlformats.org/spreadsheetml/2006/main" count="197" uniqueCount="165">
  <si>
    <t>20 users</t>
  </si>
  <si>
    <t>50 users</t>
  </si>
  <si>
    <t>100 users</t>
  </si>
  <si>
    <t>Lab hardware</t>
  </si>
  <si>
    <t>Staging hardware</t>
  </si>
  <si>
    <t>Hardware subtotal</t>
  </si>
  <si>
    <t>Contingency rate</t>
  </si>
  <si>
    <t>Contingency</t>
  </si>
  <si>
    <t>Total with contingency</t>
  </si>
  <si>
    <t>GPUs in the lab</t>
  </si>
  <si>
    <t>GPU servers in the lab</t>
  </si>
  <si>
    <t>Lab power at maximum draw (W)</t>
  </si>
  <si>
    <t>Staging power at maximum draw (W)</t>
  </si>
  <si>
    <t>ID</t>
  </si>
  <si>
    <t>Environment</t>
  </si>
  <si>
    <t>Item</t>
  </si>
  <si>
    <t>Specification</t>
  </si>
  <si>
    <t>Unit price</t>
  </si>
  <si>
    <t>Qty 20</t>
  </si>
  <si>
    <t>Qty 50</t>
  </si>
  <si>
    <t>Qty 100</t>
  </si>
  <si>
    <t>Cost 20</t>
  </si>
  <si>
    <t>Cost 50</t>
  </si>
  <si>
    <t>Cost 100</t>
  </si>
  <si>
    <t>Max W per unit</t>
  </si>
  <si>
    <t>W 20</t>
  </si>
  <si>
    <t>W 50</t>
  </si>
  <si>
    <t>W 100</t>
  </si>
  <si>
    <t>Notes</t>
  </si>
  <si>
    <t>Lab</t>
  </si>
  <si>
    <t>L1</t>
  </si>
  <si>
    <t>GPU server platform</t>
  </si>
  <si>
    <t>2U, 4 GPU slots, 2 x AMD EPYC 9115, 384 GB RAM, 5-yr parts warranty</t>
  </si>
  <si>
    <t>L2</t>
  </si>
  <si>
    <t>GPU</t>
  </si>
  <si>
    <t>NVIDIA RTX PRO 6000 Blackwell Server Edition, 96 GB</t>
  </si>
  <si>
    <t>L3</t>
  </si>
  <si>
    <t>NVMe SSD for model storage</t>
  </si>
  <si>
    <t>3.84 TB enterprise NVMe</t>
  </si>
  <si>
    <t>Two per GPU server for model files and cache.</t>
  </si>
  <si>
    <t>L4</t>
  </si>
  <si>
    <t>Service node</t>
  </si>
  <si>
    <t>1U, 16+ cores, 128 GB RAM, 2 x 1.92 TB NVMe, 2 x 25 GbE</t>
  </si>
  <si>
    <t>L5</t>
  </si>
  <si>
    <t>25 GbE switch</t>
  </si>
  <si>
    <t>48 x 25 GbE, Dell S5248F-ON or equal</t>
  </si>
  <si>
    <t>L6</t>
  </si>
  <si>
    <t>Cables and optics</t>
  </si>
  <si>
    <t>Per switch</t>
  </si>
  <si>
    <t>Staging</t>
  </si>
  <si>
    <t>S1</t>
  </si>
  <si>
    <t>Same platform as the lab, so drivers and releases are tested on identical hardware</t>
  </si>
  <si>
    <t>S2</t>
  </si>
  <si>
    <t>S3</t>
  </si>
  <si>
    <t>Hardware total</t>
  </si>
  <si>
    <t>Planned GPUs (lab)</t>
  </si>
  <si>
    <t>Minimum GPUs required</t>
  </si>
  <si>
    <t>1. Usage and sizing</t>
  </si>
  <si>
    <t>Basis</t>
  </si>
  <si>
    <t>Total users</t>
  </si>
  <si>
    <t>Share of users sending requests at the same moment (peak)</t>
  </si>
  <si>
    <t>Planning figure. Revisit after the first months of usage logs from the gateway.</t>
  </si>
  <si>
    <t>Peak simultaneous requests</t>
  </si>
  <si>
    <t>Simultaneous requests one GPU can serve at interactive speed</t>
  </si>
  <si>
    <t>Conservative figure for a ~120B-parameter model with long inputs (documents, code files). Short chat requests allow more.</t>
  </si>
  <si>
    <t>GPUs needed for the language model</t>
  </si>
  <si>
    <t>GPUs for speech-to-text and document search</t>
  </si>
  <si>
    <t>2. Model used for sizing</t>
  </si>
  <si>
    <t>Sizing reference: gpt-oss-120b (OpenAI, Apache 2.0 license). About 65 GB at its native 4-bit format, so one copy fits on one 96 GB GPU with room for working memory.</t>
  </si>
  <si>
    <t>Other open-weight models of similar size fit the same hardware. Model selection, origin, and license are subject to program approval.</t>
  </si>
  <si>
    <t>3. Unit prices</t>
  </si>
  <si>
    <t>Source and date</t>
  </si>
  <si>
    <t>Reference quote: 2U 4-GPU server, 4 x RTX PRO 6000 Server Edition, 2 x EPYC 9115, 384 GB, 5-yr parts warranty</t>
  </si>
  <si>
    <t>Thinkmate GPX GE95-2206-41 configured price checked Oct 20, 2026, as reported by Five West Financial (fivewestfinancial.com/blog/gpu-server-reseller-financing.html).</t>
  </si>
  <si>
    <t>NVIDIA RTX PRO 6000 Blackwell Server Edition, 96 GB (per GPU)</t>
  </si>
  <si>
    <t>Derived: reference quote minus four GPUs.</t>
  </si>
  <si>
    <t>Enterprise NVMe SSD, 3.84 TB (model and cache storage)</t>
  </si>
  <si>
    <t>Thinkmate RAX RE95-1104-01 starting price (thinkmate.com, checked Oct 2026).</t>
  </si>
  <si>
    <t>Service node upgrade to 16+ cores, 128 GB RAM, 2 x 1.92 TB NVMe</t>
  </si>
  <si>
    <t>Service node, configured</t>
  </si>
  <si>
    <t>25 GbE switch, 48 ports, Dell S5248F-ON with OS10</t>
  </si>
  <si>
    <t>DirectMacro listing for new Dell 210-APFB (directmacro.com, checked Oct 2026).</t>
  </si>
  <si>
    <t>Cables and optics per switch</t>
  </si>
  <si>
    <t>4. Power planning figures (maximum draw)</t>
  </si>
  <si>
    <t>Watts</t>
  </si>
  <si>
    <t>Source</t>
  </si>
  <si>
    <t>RTX PRO 6000 Server Edition</t>
  </si>
  <si>
    <t>NVIDIA maximum, configurable down to 400 W.</t>
  </si>
  <si>
    <t>2U GPU server platform (without GPUs)</t>
  </si>
  <si>
    <t>Estimate for two CPUs, memory, drives, and fans.</t>
  </si>
  <si>
    <t>1U service node</t>
  </si>
  <si>
    <t>Estimate.</t>
  </si>
  <si>
    <t>5. Not included in totals</t>
  </si>
  <si>
    <t>Installation labor, accreditation effort, and contractor support.</t>
  </si>
  <si>
    <t>6. Price validity</t>
  </si>
  <si>
    <t>Software (no license cost assumed)</t>
  </si>
  <si>
    <t>Component</t>
  </si>
  <si>
    <t>Purpose</t>
  </si>
  <si>
    <t>License</t>
  </si>
  <si>
    <t>Note</t>
  </si>
  <si>
    <t>RKE2 or the lab's existing Kubernetes</t>
  </si>
  <si>
    <t>Runs the services</t>
  </si>
  <si>
    <t>Open source</t>
  </si>
  <si>
    <t>Paid vendor support optional</t>
  </si>
  <si>
    <t>Big Bang (Platform One)</t>
  </si>
  <si>
    <t>Hardened baseline: Harbor, GitLab, Argo CD, Keycloak, monitoring</t>
  </si>
  <si>
    <t>Iron Bank images need a Platform One account</t>
  </si>
  <si>
    <t>NVIDIA GPU Operator and drivers</t>
  </si>
  <si>
    <t>GPU access for containers</t>
  </si>
  <si>
    <t>No cost</t>
  </si>
  <si>
    <t>Images mirrored into Harbor</t>
  </si>
  <si>
    <t>vLLM</t>
  </si>
  <si>
    <t>Serves the language model</t>
  </si>
  <si>
    <t>Apache 2.0</t>
  </si>
  <si>
    <t>LiteLLM</t>
  </si>
  <si>
    <t>Gateway: sign-in, logging, usage limits</t>
  </si>
  <si>
    <t>Open source core</t>
  </si>
  <si>
    <t>Some enterprise features are licensed separately</t>
  </si>
  <si>
    <t>Open WebUI</t>
  </si>
  <si>
    <t>Chat page</t>
  </si>
  <si>
    <t>Review license terms on branding</t>
  </si>
  <si>
    <t>Jupyter AI, Continue</t>
  </si>
  <si>
    <t>AI in Jupyter and VS Code</t>
  </si>
  <si>
    <t>MATLAB calls the gateway API directly</t>
  </si>
  <si>
    <t>PostgreSQL with pgvector</t>
  </si>
  <si>
    <t>Gateway logs and document search</t>
  </si>
  <si>
    <t>faster-whisper</t>
  </si>
  <si>
    <t>Voice note transcription</t>
  </si>
  <si>
    <t>MIT</t>
  </si>
  <si>
    <t>gpt-oss-120b or approved equivalent</t>
  </si>
  <si>
    <t>Language model</t>
  </si>
  <si>
    <t>Model choice subject to program approval</t>
  </si>
  <si>
    <t>Zarf</t>
  </si>
  <si>
    <t>Packages releases for the air gap</t>
  </si>
  <si>
    <t>Includes analysts plus engineers and others who will use the service</t>
  </si>
  <si>
    <t>Users at peak load</t>
  </si>
  <si>
    <t>Peak requests / requests per GPU</t>
  </si>
  <si>
    <t>One GPU per tier runs Whisper transcription and the embedding model for document search</t>
  </si>
  <si>
    <t>Compare with the planned GPUs on the BOM tab. The BOM rounds up to fill servers and. At 100 users (and probably at 50 users), we need to add redudancy so if a server/GPU fails, we can maintain service.</t>
  </si>
  <si>
    <t>Note: Model weights are loaded in safetensors format with published checksums verified. None safetensor formats may contain executables and will increase GPU requirements...</t>
  </si>
  <si>
    <t>base + upgrade</t>
  </si>
  <si>
    <t>Racks, power distribution, cooling, and any facility work. 
GPU servers draw about 3.3 kW each at maximum. Need to confirm circuit capacity with lab facilities.</t>
  </si>
  <si>
    <t>Optional paid software support, e.g.., Kubernetes vendor support or NVIDIA AI Enterprise. All required software is open source (go to next tab).</t>
  </si>
  <si>
    <t>Build environment and transfer media is considered a pre-production environment. To lower technical risks, I recommend standing up a pre-production environment.</t>
  </si>
  <si>
    <r>
      <rPr>
        <b/>
        <i/>
        <sz val="11"/>
        <rFont val="Arial"/>
        <family val="2"/>
      </rPr>
      <t xml:space="preserve">Note: </t>
    </r>
    <r>
      <rPr>
        <i/>
        <sz val="11"/>
        <rFont val="Arial"/>
        <family val="2"/>
      </rPr>
      <t>Government contract vehicle pricing (GSA, SEWP) may be lower than the commercial prices.</t>
    </r>
  </si>
  <si>
    <t>Prices were requested &amp; collected during the week of October 19th of 2026. 
GPU, memory, and SSD prices moved significantly during 2026.</t>
  </si>
  <si>
    <t>GPU Server(s) for Metrics Analysis Pipeline: hardware estimate</t>
  </si>
  <si>
    <r>
      <t xml:space="preserve">Key: </t>
    </r>
    <r>
      <rPr>
        <sz val="11"/>
        <color rgb="FF0000EE"/>
        <rFont val="Arial"/>
        <family val="2"/>
      </rPr>
      <t>Blue text</t>
    </r>
    <r>
      <rPr>
        <sz val="11"/>
        <rFont val="Arial"/>
        <family val="2"/>
      </rPr>
      <t xml:space="preserve"> = input with formulas</t>
    </r>
  </si>
  <si>
    <t>Itemized Breakdown Assumptions</t>
  </si>
  <si>
    <t>All prices were requested &amp; collected during the week of October 19th of 2026. See the Assumptions tab for itemized breakdowns</t>
  </si>
  <si>
    <t>Scope: a language model running on lab hardware, a sign-in and logging gateway, a chat page, AI access from Jupyter, VS Code, and MATLAB, search across team documents, and transcription of test conductor voice notes. Does not include "existing" CPU servers for remaining pipeline.</t>
  </si>
  <si>
    <t>Hardware BOM</t>
  </si>
  <si>
    <t>Quantities are shown for three different user sizes. The estimated prices and power figures are found in the assumptions tab.</t>
  </si>
  <si>
    <t>Second server at 100 users adds capacity and keeps the AI part of the pipeline running if one server fails.</t>
  </si>
  <si>
    <r>
      <rPr>
        <b/>
        <sz val="11"/>
        <rFont val="Arial"/>
        <family val="2"/>
      </rPr>
      <t>20 users</t>
    </r>
    <r>
      <rPr>
        <sz val="11"/>
        <rFont val="Arial"/>
        <family val="2"/>
      </rPr>
      <t xml:space="preserve">: one server not at capacity. 
</t>
    </r>
    <r>
      <rPr>
        <b/>
        <sz val="11"/>
        <rFont val="Arial"/>
        <family val="2"/>
      </rPr>
      <t>50 users</t>
    </r>
    <r>
      <rPr>
        <sz val="11"/>
        <rFont val="Arial"/>
        <family val="2"/>
      </rPr>
      <t xml:space="preserve">: fills one server. 
</t>
    </r>
    <r>
      <rPr>
        <b/>
        <sz val="11"/>
        <rFont val="Arial"/>
        <family val="2"/>
      </rPr>
      <t>100 users</t>
    </r>
    <r>
      <rPr>
        <sz val="11"/>
        <rFont val="Arial"/>
        <family val="2"/>
      </rPr>
      <t>: two full servers.</t>
    </r>
  </si>
  <si>
    <t xml:space="preserve">Runs the AI gateway, chat page, sign-in, PostgreSQL, registry, and monitoring. Three nodes exist for redundancy. </t>
  </si>
  <si>
    <t>Need to check if the lab is at switch capacity. Second switch at 100 users is for redundancy.</t>
  </si>
  <si>
    <t>Additional Reasearch area under Cables and Optics: Infiniband</t>
  </si>
  <si>
    <t>Runs a single-node install to validate software changes before it goes to the lab.</t>
  </si>
  <si>
    <r>
      <t>2U GPU server platform</t>
    </r>
    <r>
      <rPr>
        <b/>
        <sz val="11"/>
        <rFont val="Arial"/>
        <family val="2"/>
      </rPr>
      <t xml:space="preserve"> </t>
    </r>
    <r>
      <rPr>
        <b/>
        <i/>
        <sz val="11"/>
        <rFont val="Arial"/>
        <family val="2"/>
      </rPr>
      <t>without GPUs</t>
    </r>
    <r>
      <rPr>
        <sz val="11"/>
        <rFont val="Arial"/>
        <charset val="1"/>
      </rPr>
      <t xml:space="preserve"> (CPUs, 384 GB RAM, warranty)</t>
    </r>
  </si>
  <si>
    <t>1U service node base (AMD EPYC 9005 platform) - For staging env</t>
  </si>
  <si>
    <t>Per-GPU price in the Thinkmate quote above. CDW had $16,115 (cdw.com, product 8426124).</t>
  </si>
  <si>
    <t>Estimate</t>
  </si>
  <si>
    <t xml:space="preserve">Is within current listings of about $1,450 to $2,600 per drive (datacenterdisk.com, Oct 2026). </t>
  </si>
  <si>
    <t xml:space="preserve">Estimate: Could not identify from thinkmate configurator.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</si>
</sst>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
    <numFmt numFmtId="165" formatCode="#,##0;\(#,##0\);\-"/>
  </numFmts>
  <fonts count="13" x14ac:knownFonts="1">
    <font>
      <sz val="11"/>
      <color theme="1"/>
      <name val="Calibri"/>
      <family val="2"/>
      <charset val="1"/>
    </font>
    <font>
      <b/>
      <sz val="13"/>
      <name val="Arial"/>
      <charset val="1"/>
    </font>
    <font>
      <b/>
      <sz val="11"/>
      <name val="Arial"/>
      <charset val="1"/>
    </font>
    <font>
      <sz val="11"/>
      <color rgb="FF0000FF"/>
      <name val="Arial"/>
      <charset val="1"/>
    </font>
    <font>
      <sz val="11"/>
      <name val="Arial"/>
      <charset val="1"/>
    </font>
    <font>
      <i/>
      <sz val="11"/>
      <name val="Arial"/>
      <charset val="1"/>
    </font>
    <font>
      <sz val="11"/>
      <name val="Arial"/>
      <family val="2"/>
    </font>
    <font>
      <sz val="11"/>
      <color rgb="FF0000FF"/>
      <name val="Arial"/>
      <family val="2"/>
    </font>
    <font>
      <b/>
      <sz val="11"/>
      <name val="Arial"/>
      <family val="2"/>
    </font>
    <font>
      <i/>
      <sz val="11"/>
      <name val="Arial"/>
      <family val="2"/>
    </font>
    <font>
      <b/>
      <i/>
      <sz val="11"/>
      <name val="Arial"/>
      <family val="2"/>
    </font>
    <font>
      <b/>
      <sz val="13"/>
      <name val="Arial"/>
      <family val="2"/>
    </font>
    <font>
      <sz val="11"/>
      <color rgb="FF0000EE"/>
      <name val="Arial"/>
      <family val="2"/>
    </font>
  </fonts>
  <fills count="3">
    <fill>
      <patternFill patternType="none"/>
    </fill>
    <fill>
      <patternFill patternType="gray125"/>
    </fill>
    <fill>
      <patternFill patternType="solid">
        <fgColor rgb="FFD9D9D9"/>
        <bgColor rgb="FFBFBFB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5" fillId="0" borderId="0" xfId="0" applyFont="1" applyAlignment="1">
      <alignment vertical="top" wrapText="1"/>
    </xf>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2" fillId="2" borderId="1" xfId="0" applyFont="1" applyFill="1" applyBorder="1" applyAlignment="1">
      <alignment vertical="center" wrapText="1"/>
    </xf>
    <xf numFmtId="0" fontId="4" fillId="0" borderId="0" xfId="0" applyFont="1"/>
    <xf numFmtId="164" fontId="4" fillId="0" borderId="0" xfId="0" applyNumberFormat="1" applyFont="1"/>
    <xf numFmtId="164" fontId="2" fillId="0" borderId="0" xfId="0" applyNumberFormat="1" applyFont="1"/>
    <xf numFmtId="9" fontId="3" fillId="0" borderId="0" xfId="0" applyNumberFormat="1" applyFont="1"/>
    <xf numFmtId="165" fontId="4" fillId="0" borderId="0" xfId="0" applyNumberFormat="1" applyFont="1"/>
    <xf numFmtId="0" fontId="4" fillId="0" borderId="1" xfId="0" applyFont="1" applyBorder="1" applyAlignment="1">
      <alignment vertical="top" wrapText="1"/>
    </xf>
    <xf numFmtId="164" fontId="4" fillId="0" borderId="1" xfId="0" applyNumberFormat="1" applyFont="1" applyBorder="1"/>
    <xf numFmtId="0" fontId="3" fillId="0" borderId="1" xfId="0" applyFont="1" applyBorder="1" applyAlignment="1">
      <alignment horizontal="center" vertical="top"/>
    </xf>
    <xf numFmtId="165" fontId="4" fillId="0" borderId="1" xfId="0" applyNumberFormat="1" applyFont="1" applyBorder="1"/>
    <xf numFmtId="165" fontId="2" fillId="0" borderId="0" xfId="0" applyNumberFormat="1" applyFont="1"/>
    <xf numFmtId="165" fontId="3" fillId="0" borderId="0" xfId="0" applyNumberFormat="1" applyFont="1" applyAlignment="1">
      <alignment horizontal="center" vertical="top"/>
    </xf>
    <xf numFmtId="9" fontId="3" fillId="0" borderId="0" xfId="0" applyNumberFormat="1" applyFont="1" applyAlignment="1">
      <alignment horizontal="center" vertical="top"/>
    </xf>
    <xf numFmtId="165" fontId="4" fillId="0" borderId="0" xfId="0" applyNumberFormat="1" applyFont="1" applyAlignment="1">
      <alignment horizontal="center" vertical="top"/>
    </xf>
    <xf numFmtId="164" fontId="3" fillId="0" borderId="0" xfId="0" applyNumberFormat="1" applyFont="1"/>
    <xf numFmtId="165" fontId="3" fillId="0" borderId="0" xfId="0" applyNumberFormat="1" applyFont="1"/>
    <xf numFmtId="0" fontId="8" fillId="0" borderId="0" xfId="0" applyFont="1"/>
    <xf numFmtId="0" fontId="6" fillId="0" borderId="0" xfId="0" applyFont="1" applyAlignment="1">
      <alignment vertical="top" wrapText="1"/>
    </xf>
    <xf numFmtId="0" fontId="6" fillId="0" borderId="0" xfId="0" applyFont="1" applyAlignment="1">
      <alignment wrapText="1"/>
    </xf>
    <xf numFmtId="0" fontId="6" fillId="0" borderId="0" xfId="0" applyFont="1" applyAlignment="1">
      <alignment vertical="top" wrapText="1"/>
    </xf>
    <xf numFmtId="0" fontId="9" fillId="0" borderId="0" xfId="0" applyFont="1" applyAlignment="1">
      <alignment vertical="top" wrapText="1"/>
    </xf>
    <xf numFmtId="0" fontId="11" fillId="0" borderId="0" xfId="0" applyFont="1"/>
    <xf numFmtId="0" fontId="0" fillId="0" borderId="0" xfId="0" applyAlignment="1">
      <alignment wrapText="1"/>
    </xf>
    <xf numFmtId="0" fontId="6" fillId="0" borderId="0" xfId="0" applyFont="1"/>
    <xf numFmtId="0" fontId="7" fillId="0" borderId="0" xfId="0" applyFont="1"/>
    <xf numFmtId="0" fontId="9" fillId="0" borderId="0" xfId="0" applyFont="1"/>
    <xf numFmtId="0" fontId="6" fillId="0" borderId="1" xfId="0" applyFont="1" applyBorder="1" applyAlignment="1">
      <alignment vertical="top" wrapText="1"/>
    </xf>
    <xf numFmtId="0" fontId="8" fillId="2" borderId="1" xfId="0" applyFont="1" applyFill="1" applyBorder="1" applyAlignment="1">
      <alignment vertical="center"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0000EE"/>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zoomScaleNormal="100" workbookViewId="0">
      <selection activeCell="H5" sqref="H5"/>
    </sheetView>
  </sheetViews>
  <sheetFormatPr defaultColWidth="8.7109375" defaultRowHeight="15" customHeight="1" x14ac:dyDescent="0.25"/>
  <cols>
    <col min="1" max="1" width="55" customWidth="1"/>
    <col min="2" max="4" width="16" customWidth="1"/>
  </cols>
  <sheetData>
    <row r="1" spans="1:6" ht="16.5" x14ac:dyDescent="0.25">
      <c r="A1" s="28" t="s">
        <v>146</v>
      </c>
    </row>
    <row r="2" spans="1:6" x14ac:dyDescent="0.25">
      <c r="A2" s="23" t="s">
        <v>147</v>
      </c>
      <c r="B2" s="31"/>
    </row>
    <row r="4" spans="1:6" ht="57.75" customHeight="1" x14ac:dyDescent="0.25">
      <c r="A4" s="26" t="s">
        <v>150</v>
      </c>
      <c r="B4" s="2"/>
      <c r="C4" s="2"/>
      <c r="D4" s="2"/>
      <c r="F4" s="29"/>
    </row>
    <row r="6" spans="1:6" x14ac:dyDescent="0.25">
      <c r="A6" s="7"/>
      <c r="B6" s="7" t="s">
        <v>0</v>
      </c>
      <c r="C6" s="7" t="s">
        <v>1</v>
      </c>
      <c r="D6" s="7" t="s">
        <v>2</v>
      </c>
    </row>
    <row r="7" spans="1:6" x14ac:dyDescent="0.25">
      <c r="A7" s="8" t="s">
        <v>3</v>
      </c>
      <c r="B7" s="9">
        <f>SUMIFS(BOM!I:I,BOM!$B:$B,"Lab")</f>
        <v>155048</v>
      </c>
      <c r="C7" s="9">
        <f>SUMIFS(BOM!J:J,BOM!$B:$B,"Lab")</f>
        <v>191540</v>
      </c>
      <c r="D7" s="9">
        <f>SUMIFS(BOM!K:K,BOM!$B:$B,"Lab")</f>
        <v>316831</v>
      </c>
    </row>
    <row r="8" spans="1:6" x14ac:dyDescent="0.25">
      <c r="A8" s="8" t="s">
        <v>4</v>
      </c>
      <c r="B8" s="9">
        <f>SUMIFS(BOM!I:I,BOM!$B:$B,"Staging")</f>
        <v>66038</v>
      </c>
      <c r="C8" s="9">
        <f>SUMIFS(BOM!J:J,BOM!$B:$B,"Staging")</f>
        <v>66038</v>
      </c>
      <c r="D8" s="9">
        <f>SUMIFS(BOM!K:K,BOM!$B:$B,"Staging")</f>
        <v>66038</v>
      </c>
    </row>
    <row r="9" spans="1:6" x14ac:dyDescent="0.25">
      <c r="A9" s="4" t="s">
        <v>5</v>
      </c>
      <c r="B9" s="10">
        <f>SUM(B7:B8)</f>
        <v>221086</v>
      </c>
      <c r="C9" s="10">
        <f>SUM(C7:C8)</f>
        <v>257578</v>
      </c>
      <c r="D9" s="10">
        <f>SUM(D7:D8)</f>
        <v>382869</v>
      </c>
    </row>
    <row r="10" spans="1:6" x14ac:dyDescent="0.25">
      <c r="A10" s="8" t="s">
        <v>6</v>
      </c>
      <c r="B10" s="11">
        <v>0.1</v>
      </c>
      <c r="C10" s="11">
        <v>0.1</v>
      </c>
      <c r="D10" s="11">
        <v>0.1</v>
      </c>
    </row>
    <row r="11" spans="1:6" x14ac:dyDescent="0.25">
      <c r="A11" s="8" t="s">
        <v>7</v>
      </c>
      <c r="B11" s="9">
        <f>B9*B10</f>
        <v>22108.600000000002</v>
      </c>
      <c r="C11" s="9">
        <f>C9*C10</f>
        <v>25757.800000000003</v>
      </c>
      <c r="D11" s="9">
        <f>D9*D10</f>
        <v>38286.9</v>
      </c>
    </row>
    <row r="12" spans="1:6" x14ac:dyDescent="0.25">
      <c r="A12" s="4" t="s">
        <v>8</v>
      </c>
      <c r="B12" s="10">
        <f>B9+B11</f>
        <v>243194.6</v>
      </c>
      <c r="C12" s="10">
        <f>C9+C11</f>
        <v>283335.8</v>
      </c>
      <c r="D12" s="10">
        <f>D9+D11</f>
        <v>421155.9</v>
      </c>
    </row>
    <row r="13" spans="1:6" x14ac:dyDescent="0.25">
      <c r="A13" s="5"/>
      <c r="B13" s="5"/>
      <c r="C13" s="5"/>
      <c r="D13" s="5"/>
    </row>
    <row r="14" spans="1:6" x14ac:dyDescent="0.25">
      <c r="A14" s="8" t="s">
        <v>9</v>
      </c>
      <c r="B14" s="12">
        <f>BOM!F8</f>
        <v>2</v>
      </c>
      <c r="C14" s="12">
        <f>BOM!G8</f>
        <v>4</v>
      </c>
      <c r="D14" s="12">
        <f>BOM!H8</f>
        <v>8</v>
      </c>
    </row>
    <row r="15" spans="1:6" x14ac:dyDescent="0.25">
      <c r="A15" s="8" t="s">
        <v>10</v>
      </c>
      <c r="B15" s="12">
        <f>BOM!F7</f>
        <v>1</v>
      </c>
      <c r="C15" s="12">
        <f>BOM!G7</f>
        <v>1</v>
      </c>
      <c r="D15" s="12">
        <f>BOM!H7</f>
        <v>2</v>
      </c>
    </row>
    <row r="16" spans="1:6" x14ac:dyDescent="0.25">
      <c r="A16" s="8" t="s">
        <v>11</v>
      </c>
      <c r="B16" s="12">
        <f>SUMIFS(BOM!M:M,BOM!$B:$B,"Lab")</f>
        <v>3550</v>
      </c>
      <c r="C16" s="12">
        <f>SUMIFS(BOM!N:N,BOM!$B:$B,"Lab")</f>
        <v>4750</v>
      </c>
      <c r="D16" s="12">
        <f>SUMIFS(BOM!O:O,BOM!$B:$B,"Lab")</f>
        <v>8300</v>
      </c>
    </row>
    <row r="17" spans="1:4" x14ac:dyDescent="0.25">
      <c r="A17" s="8" t="s">
        <v>12</v>
      </c>
      <c r="B17" s="12">
        <f>SUMIFS(BOM!M:M,BOM!$B:$B,"Staging")</f>
        <v>1500</v>
      </c>
      <c r="C17" s="12">
        <f>SUMIFS(BOM!N:N,BOM!$B:$B,"Staging")</f>
        <v>1500</v>
      </c>
      <c r="D17" s="12">
        <f>SUMIFS(BOM!O:O,BOM!$B:$B,"Staging")</f>
        <v>1500</v>
      </c>
    </row>
    <row r="20" spans="1:4" ht="30" customHeight="1" x14ac:dyDescent="0.25">
      <c r="A20" s="27" t="s">
        <v>149</v>
      </c>
      <c r="B20" s="1"/>
      <c r="C20" s="1"/>
      <c r="D20" s="1"/>
    </row>
  </sheetData>
  <mergeCells count="2">
    <mergeCell ref="A4:D4"/>
    <mergeCell ref="A20:D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1"/>
  <sheetViews>
    <sheetView zoomScaleNormal="100" workbookViewId="0">
      <pane xSplit="4" ySplit="5" topLeftCell="F6" activePane="bottomRight" state="frozen"/>
      <selection pane="topRight" activeCell="E1" sqref="E1"/>
      <selection pane="bottomLeft" activeCell="A6" sqref="A6"/>
      <selection pane="bottomRight" activeCell="P16" sqref="P16"/>
    </sheetView>
  </sheetViews>
  <sheetFormatPr defaultColWidth="8.7109375" defaultRowHeight="15" customHeight="1" x14ac:dyDescent="0.25"/>
  <cols>
    <col min="1" max="1" width="5" customWidth="1"/>
    <col min="2" max="2" width="34.7109375" bestFit="1" customWidth="1"/>
    <col min="3" max="3" width="26" customWidth="1"/>
    <col min="4" max="4" width="48" customWidth="1"/>
    <col min="5" max="5" width="12" customWidth="1"/>
    <col min="6" max="6" width="11.42578125" customWidth="1"/>
    <col min="7" max="7" width="8" customWidth="1"/>
    <col min="8" max="8" width="8.5703125" customWidth="1"/>
    <col min="9" max="11" width="12" customWidth="1"/>
    <col min="12" max="12" width="17.42578125" customWidth="1"/>
    <col min="13" max="15" width="9" customWidth="1"/>
    <col min="16" max="16" width="44" customWidth="1"/>
  </cols>
  <sheetData>
    <row r="1" spans="1:16" ht="16.5" x14ac:dyDescent="0.25">
      <c r="A1" s="28" t="s">
        <v>151</v>
      </c>
    </row>
    <row r="2" spans="1:16" x14ac:dyDescent="0.25">
      <c r="B2" s="23" t="s">
        <v>147</v>
      </c>
    </row>
    <row r="3" spans="1:16" x14ac:dyDescent="0.25">
      <c r="B3" s="32" t="s">
        <v>152</v>
      </c>
    </row>
    <row r="5" spans="1:16" ht="30" customHeight="1" x14ac:dyDescent="0.25">
      <c r="A5" s="7" t="s">
        <v>13</v>
      </c>
      <c r="B5" s="7" t="s">
        <v>14</v>
      </c>
      <c r="C5" s="7" t="s">
        <v>15</v>
      </c>
      <c r="D5" s="7" t="s">
        <v>16</v>
      </c>
      <c r="E5" s="7" t="s">
        <v>17</v>
      </c>
      <c r="F5" s="34" t="s">
        <v>18</v>
      </c>
      <c r="G5" s="7" t="s">
        <v>19</v>
      </c>
      <c r="H5" s="7" t="s">
        <v>20</v>
      </c>
      <c r="I5" s="7" t="s">
        <v>21</v>
      </c>
      <c r="J5" s="7" t="s">
        <v>22</v>
      </c>
      <c r="K5" s="7" t="s">
        <v>23</v>
      </c>
      <c r="L5" s="7" t="s">
        <v>24</v>
      </c>
      <c r="M5" s="7" t="s">
        <v>25</v>
      </c>
      <c r="N5" s="7" t="s">
        <v>26</v>
      </c>
      <c r="O5" s="7" t="s">
        <v>27</v>
      </c>
      <c r="P5" s="7" t="s">
        <v>28</v>
      </c>
    </row>
    <row r="6" spans="1:16" x14ac:dyDescent="0.25">
      <c r="A6" s="4" t="s">
        <v>29</v>
      </c>
    </row>
    <row r="7" spans="1:16" ht="42.75" x14ac:dyDescent="0.25">
      <c r="A7" s="13" t="s">
        <v>30</v>
      </c>
      <c r="B7" s="33" t="s">
        <v>29</v>
      </c>
      <c r="C7" s="13" t="s">
        <v>31</v>
      </c>
      <c r="D7" s="13" t="s">
        <v>32</v>
      </c>
      <c r="E7" s="14">
        <f>Assumptions!B23</f>
        <v>43792</v>
      </c>
      <c r="F7" s="15">
        <v>1</v>
      </c>
      <c r="G7" s="15">
        <v>1</v>
      </c>
      <c r="H7" s="15">
        <v>2</v>
      </c>
      <c r="I7" s="14">
        <f t="shared" ref="I7:K12" si="0">F7*$E7</f>
        <v>43792</v>
      </c>
      <c r="J7" s="14">
        <f t="shared" si="0"/>
        <v>43792</v>
      </c>
      <c r="K7" s="14">
        <f t="shared" si="0"/>
        <v>87584</v>
      </c>
      <c r="L7" s="16">
        <f>Assumptions!B34</f>
        <v>900</v>
      </c>
      <c r="M7" s="16">
        <f t="shared" ref="M7:O12" si="1">F7*$L7</f>
        <v>900</v>
      </c>
      <c r="N7" s="16">
        <f t="shared" si="1"/>
        <v>900</v>
      </c>
      <c r="O7" s="16">
        <f t="shared" si="1"/>
        <v>1800</v>
      </c>
      <c r="P7" s="33" t="s">
        <v>153</v>
      </c>
    </row>
    <row r="8" spans="1:16" ht="45" x14ac:dyDescent="0.25">
      <c r="A8" s="13" t="s">
        <v>33</v>
      </c>
      <c r="B8" s="13" t="s">
        <v>29</v>
      </c>
      <c r="C8" s="13" t="s">
        <v>34</v>
      </c>
      <c r="D8" s="13" t="s">
        <v>35</v>
      </c>
      <c r="E8" s="14">
        <f>Assumptions!B22</f>
        <v>18246</v>
      </c>
      <c r="F8" s="15">
        <v>2</v>
      </c>
      <c r="G8" s="15">
        <v>4</v>
      </c>
      <c r="H8" s="15">
        <v>8</v>
      </c>
      <c r="I8" s="14">
        <f t="shared" si="0"/>
        <v>36492</v>
      </c>
      <c r="J8" s="14">
        <f t="shared" si="0"/>
        <v>72984</v>
      </c>
      <c r="K8" s="14">
        <f t="shared" si="0"/>
        <v>145968</v>
      </c>
      <c r="L8" s="16">
        <f>Assumptions!B33</f>
        <v>600</v>
      </c>
      <c r="M8" s="16">
        <f t="shared" si="1"/>
        <v>1200</v>
      </c>
      <c r="N8" s="16">
        <f t="shared" si="1"/>
        <v>2400</v>
      </c>
      <c r="O8" s="16">
        <f t="shared" si="1"/>
        <v>4800</v>
      </c>
      <c r="P8" s="33" t="s">
        <v>154</v>
      </c>
    </row>
    <row r="9" spans="1:16" ht="28.5" x14ac:dyDescent="0.25">
      <c r="A9" s="13" t="s">
        <v>36</v>
      </c>
      <c r="B9" s="13" t="s">
        <v>29</v>
      </c>
      <c r="C9" s="13" t="s">
        <v>37</v>
      </c>
      <c r="D9" s="13" t="s">
        <v>38</v>
      </c>
      <c r="E9" s="14">
        <f>Assumptions!B24</f>
        <v>2000</v>
      </c>
      <c r="F9" s="15">
        <v>2</v>
      </c>
      <c r="G9" s="15">
        <v>2</v>
      </c>
      <c r="H9" s="15">
        <v>4</v>
      </c>
      <c r="I9" s="14">
        <f t="shared" si="0"/>
        <v>4000</v>
      </c>
      <c r="J9" s="14">
        <f t="shared" si="0"/>
        <v>4000</v>
      </c>
      <c r="K9" s="14">
        <f t="shared" si="0"/>
        <v>8000</v>
      </c>
      <c r="L9" s="16">
        <v>0</v>
      </c>
      <c r="M9" s="16">
        <f t="shared" si="1"/>
        <v>0</v>
      </c>
      <c r="N9" s="16">
        <f t="shared" si="1"/>
        <v>0</v>
      </c>
      <c r="O9" s="16">
        <f t="shared" si="1"/>
        <v>0</v>
      </c>
      <c r="P9" s="33" t="s">
        <v>39</v>
      </c>
    </row>
    <row r="10" spans="1:16" ht="42.75" x14ac:dyDescent="0.25">
      <c r="A10" s="13" t="s">
        <v>40</v>
      </c>
      <c r="B10" s="13" t="s">
        <v>29</v>
      </c>
      <c r="C10" s="13" t="s">
        <v>41</v>
      </c>
      <c r="D10" s="13" t="s">
        <v>42</v>
      </c>
      <c r="E10" s="14">
        <f>Assumptions!B27</f>
        <v>22083</v>
      </c>
      <c r="F10" s="15">
        <v>3</v>
      </c>
      <c r="G10" s="15">
        <v>3</v>
      </c>
      <c r="H10" s="15">
        <v>3</v>
      </c>
      <c r="I10" s="14">
        <f t="shared" si="0"/>
        <v>66249</v>
      </c>
      <c r="J10" s="14">
        <f t="shared" si="0"/>
        <v>66249</v>
      </c>
      <c r="K10" s="14">
        <f t="shared" si="0"/>
        <v>66249</v>
      </c>
      <c r="L10" s="16">
        <f>Assumptions!B35</f>
        <v>400</v>
      </c>
      <c r="M10" s="16">
        <f t="shared" si="1"/>
        <v>1200</v>
      </c>
      <c r="N10" s="16">
        <f t="shared" si="1"/>
        <v>1200</v>
      </c>
      <c r="O10" s="16">
        <f t="shared" si="1"/>
        <v>1200</v>
      </c>
      <c r="P10" s="33" t="s">
        <v>155</v>
      </c>
    </row>
    <row r="11" spans="1:16" ht="42.75" x14ac:dyDescent="0.25">
      <c r="A11" s="13" t="s">
        <v>43</v>
      </c>
      <c r="B11" s="13" t="s">
        <v>29</v>
      </c>
      <c r="C11" s="13" t="s">
        <v>44</v>
      </c>
      <c r="D11" s="13" t="s">
        <v>45</v>
      </c>
      <c r="E11" s="14">
        <f>Assumptions!B28</f>
        <v>3515</v>
      </c>
      <c r="F11" s="15">
        <v>1</v>
      </c>
      <c r="G11" s="15">
        <v>1</v>
      </c>
      <c r="H11" s="15">
        <v>2</v>
      </c>
      <c r="I11" s="14">
        <f t="shared" si="0"/>
        <v>3515</v>
      </c>
      <c r="J11" s="14">
        <f t="shared" si="0"/>
        <v>3515</v>
      </c>
      <c r="K11" s="14">
        <f t="shared" si="0"/>
        <v>7030</v>
      </c>
      <c r="L11" s="16">
        <f>Assumptions!B36</f>
        <v>250</v>
      </c>
      <c r="M11" s="16">
        <f t="shared" si="1"/>
        <v>250</v>
      </c>
      <c r="N11" s="16">
        <f t="shared" si="1"/>
        <v>250</v>
      </c>
      <c r="O11" s="16">
        <f t="shared" si="1"/>
        <v>500</v>
      </c>
      <c r="P11" s="33" t="s">
        <v>156</v>
      </c>
    </row>
    <row r="12" spans="1:16" x14ac:dyDescent="0.25">
      <c r="A12" s="13" t="s">
        <v>46</v>
      </c>
      <c r="B12" s="13" t="s">
        <v>29</v>
      </c>
      <c r="C12" s="13" t="s">
        <v>47</v>
      </c>
      <c r="D12" s="33" t="s">
        <v>48</v>
      </c>
      <c r="E12" s="14">
        <f>Assumptions!B29</f>
        <v>1000</v>
      </c>
      <c r="F12" s="15">
        <v>1</v>
      </c>
      <c r="G12" s="15">
        <v>1</v>
      </c>
      <c r="H12" s="15">
        <v>2</v>
      </c>
      <c r="I12" s="14">
        <f t="shared" si="0"/>
        <v>1000</v>
      </c>
      <c r="J12" s="14">
        <f t="shared" si="0"/>
        <v>1000</v>
      </c>
      <c r="K12" s="14">
        <f t="shared" si="0"/>
        <v>2000</v>
      </c>
      <c r="L12" s="16">
        <v>0</v>
      </c>
      <c r="M12" s="16">
        <f t="shared" si="1"/>
        <v>0</v>
      </c>
      <c r="N12" s="16">
        <f t="shared" si="1"/>
        <v>0</v>
      </c>
      <c r="O12" s="16">
        <f t="shared" si="1"/>
        <v>0</v>
      </c>
      <c r="P12" s="13"/>
    </row>
    <row r="13" spans="1:16" x14ac:dyDescent="0.25">
      <c r="A13" s="4" t="s">
        <v>49</v>
      </c>
    </row>
    <row r="14" spans="1:16" ht="28.5" x14ac:dyDescent="0.25">
      <c r="A14" s="13" t="s">
        <v>50</v>
      </c>
      <c r="B14" s="33" t="s">
        <v>49</v>
      </c>
      <c r="C14" s="13" t="s">
        <v>31</v>
      </c>
      <c r="D14" s="13" t="s">
        <v>51</v>
      </c>
      <c r="E14" s="14">
        <f>Assumptions!B23</f>
        <v>43792</v>
      </c>
      <c r="F14" s="15">
        <v>1</v>
      </c>
      <c r="G14" s="15">
        <v>1</v>
      </c>
      <c r="H14" s="15">
        <v>1</v>
      </c>
      <c r="I14" s="14">
        <f t="shared" ref="I14:K16" si="2">F14*$E14</f>
        <v>43792</v>
      </c>
      <c r="J14" s="14">
        <f t="shared" si="2"/>
        <v>43792</v>
      </c>
      <c r="K14" s="14">
        <f t="shared" si="2"/>
        <v>43792</v>
      </c>
      <c r="L14" s="16">
        <f>Assumptions!B34</f>
        <v>900</v>
      </c>
      <c r="M14" s="16">
        <f t="shared" ref="M14:O16" si="3">F14*$L14</f>
        <v>900</v>
      </c>
      <c r="N14" s="16">
        <f t="shared" si="3"/>
        <v>900</v>
      </c>
      <c r="O14" s="16">
        <f t="shared" si="3"/>
        <v>900</v>
      </c>
      <c r="P14" s="33" t="s">
        <v>158</v>
      </c>
    </row>
    <row r="15" spans="1:16" ht="28.5" x14ac:dyDescent="0.25">
      <c r="A15" s="13" t="s">
        <v>52</v>
      </c>
      <c r="B15" s="13" t="s">
        <v>49</v>
      </c>
      <c r="C15" s="13" t="s">
        <v>34</v>
      </c>
      <c r="D15" s="13" t="s">
        <v>35</v>
      </c>
      <c r="E15" s="14">
        <f>Assumptions!B22</f>
        <v>18246</v>
      </c>
      <c r="F15" s="15">
        <v>1</v>
      </c>
      <c r="G15" s="15">
        <v>1</v>
      </c>
      <c r="H15" s="15">
        <v>1</v>
      </c>
      <c r="I15" s="14">
        <f t="shared" si="2"/>
        <v>18246</v>
      </c>
      <c r="J15" s="14">
        <f t="shared" si="2"/>
        <v>18246</v>
      </c>
      <c r="K15" s="14">
        <f t="shared" si="2"/>
        <v>18246</v>
      </c>
      <c r="L15" s="16">
        <f>Assumptions!B33</f>
        <v>600</v>
      </c>
      <c r="M15" s="16">
        <f t="shared" si="3"/>
        <v>600</v>
      </c>
      <c r="N15" s="16">
        <f t="shared" si="3"/>
        <v>600</v>
      </c>
      <c r="O15" s="16">
        <f t="shared" si="3"/>
        <v>600</v>
      </c>
      <c r="P15" s="33"/>
    </row>
    <row r="16" spans="1:16" ht="28.5" x14ac:dyDescent="0.25">
      <c r="A16" s="13" t="s">
        <v>53</v>
      </c>
      <c r="B16" s="13" t="s">
        <v>49</v>
      </c>
      <c r="C16" s="13" t="s">
        <v>37</v>
      </c>
      <c r="D16" s="13" t="s">
        <v>38</v>
      </c>
      <c r="E16" s="14">
        <f>Assumptions!B24</f>
        <v>2000</v>
      </c>
      <c r="F16" s="15">
        <v>2</v>
      </c>
      <c r="G16" s="15">
        <v>2</v>
      </c>
      <c r="H16" s="15">
        <v>2</v>
      </c>
      <c r="I16" s="14">
        <f t="shared" si="2"/>
        <v>4000</v>
      </c>
      <c r="J16" s="14">
        <f t="shared" si="2"/>
        <v>4000</v>
      </c>
      <c r="K16" s="14">
        <f t="shared" si="2"/>
        <v>4000</v>
      </c>
      <c r="L16" s="16">
        <v>0</v>
      </c>
      <c r="M16" s="16">
        <f t="shared" si="3"/>
        <v>0</v>
      </c>
      <c r="N16" s="16">
        <f t="shared" si="3"/>
        <v>0</v>
      </c>
      <c r="O16" s="16">
        <f t="shared" si="3"/>
        <v>0</v>
      </c>
      <c r="P16" s="13"/>
    </row>
    <row r="17" spans="2:15" x14ac:dyDescent="0.25">
      <c r="C17" s="4" t="s">
        <v>54</v>
      </c>
      <c r="I17" s="10">
        <f>SUM(I6:I16)</f>
        <v>221086</v>
      </c>
      <c r="J17" s="10">
        <f>SUM(J6:J16)</f>
        <v>257578</v>
      </c>
      <c r="K17" s="10">
        <f>SUM(K6:K16)</f>
        <v>382869</v>
      </c>
      <c r="M17" s="17">
        <f>SUM(M6:M16)</f>
        <v>5050</v>
      </c>
      <c r="N17" s="17">
        <f>SUM(N6:N16)</f>
        <v>6250</v>
      </c>
      <c r="O17" s="17">
        <f>SUM(O6:O16)</f>
        <v>9800</v>
      </c>
    </row>
    <row r="18" spans="2:15" x14ac:dyDescent="0.25">
      <c r="C18" s="8" t="s">
        <v>55</v>
      </c>
      <c r="F18" s="5">
        <f>F8</f>
        <v>2</v>
      </c>
      <c r="G18" s="5">
        <f>G8</f>
        <v>4</v>
      </c>
      <c r="H18" s="5">
        <f>H8</f>
        <v>8</v>
      </c>
    </row>
    <row r="19" spans="2:15" x14ac:dyDescent="0.25">
      <c r="C19" s="8" t="s">
        <v>56</v>
      </c>
      <c r="F19" s="12">
        <f>Assumptions!B12</f>
        <v>2</v>
      </c>
      <c r="G19" s="12">
        <f>Assumptions!C12</f>
        <v>3</v>
      </c>
      <c r="H19" s="12">
        <f>Assumptions!D12</f>
        <v>5</v>
      </c>
    </row>
    <row r="21" spans="2:15" ht="15" customHeight="1" x14ac:dyDescent="0.25">
      <c r="B21" t="s">
        <v>157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6"/>
  <sheetViews>
    <sheetView topLeftCell="A20" zoomScaleNormal="100" workbookViewId="0">
      <selection activeCell="A42" sqref="A42:E42"/>
    </sheetView>
  </sheetViews>
  <sheetFormatPr defaultColWidth="8.7109375" defaultRowHeight="15" customHeight="1" x14ac:dyDescent="0.25"/>
  <cols>
    <col min="1" max="1" width="67.42578125" customWidth="1"/>
    <col min="2" max="4" width="16" customWidth="1"/>
    <col min="5" max="5" width="70" customWidth="1"/>
  </cols>
  <sheetData>
    <row r="1" spans="1:5" ht="16.5" x14ac:dyDescent="0.25">
      <c r="A1" s="28" t="s">
        <v>148</v>
      </c>
    </row>
    <row r="2" spans="1:5" x14ac:dyDescent="0.25">
      <c r="A2" s="23" t="s">
        <v>147</v>
      </c>
    </row>
    <row r="4" spans="1:5" x14ac:dyDescent="0.25">
      <c r="A4" s="23" t="s">
        <v>57</v>
      </c>
    </row>
    <row r="5" spans="1:5" x14ac:dyDescent="0.25">
      <c r="A5" s="7" t="s">
        <v>15</v>
      </c>
      <c r="B5" s="7" t="s">
        <v>0</v>
      </c>
      <c r="C5" s="7" t="s">
        <v>1</v>
      </c>
      <c r="D5" s="7" t="s">
        <v>2</v>
      </c>
      <c r="E5" s="7" t="s">
        <v>58</v>
      </c>
    </row>
    <row r="6" spans="1:5" x14ac:dyDescent="0.25">
      <c r="A6" s="8" t="s">
        <v>59</v>
      </c>
      <c r="B6" s="18">
        <v>20</v>
      </c>
      <c r="C6" s="18">
        <v>50</v>
      </c>
      <c r="D6" s="18">
        <v>100</v>
      </c>
      <c r="E6" s="6" t="s">
        <v>134</v>
      </c>
    </row>
    <row r="7" spans="1:5" ht="28.5" x14ac:dyDescent="0.25">
      <c r="A7" s="8" t="s">
        <v>60</v>
      </c>
      <c r="B7" s="19">
        <v>0.2</v>
      </c>
      <c r="C7" s="19">
        <v>0.2</v>
      </c>
      <c r="D7" s="19">
        <v>0.2</v>
      </c>
      <c r="E7" s="6" t="s">
        <v>61</v>
      </c>
    </row>
    <row r="8" spans="1:5" x14ac:dyDescent="0.25">
      <c r="A8" s="8" t="s">
        <v>62</v>
      </c>
      <c r="B8" s="20">
        <f>ROUNDUP(B6*B7,0)</f>
        <v>4</v>
      </c>
      <c r="C8" s="20">
        <f>ROUNDUP(C6*C7,0)</f>
        <v>10</v>
      </c>
      <c r="D8" s="20">
        <f>ROUNDUP(D6*D7,0)</f>
        <v>20</v>
      </c>
      <c r="E8" s="24" t="s">
        <v>135</v>
      </c>
    </row>
    <row r="9" spans="1:5" ht="28.5" x14ac:dyDescent="0.25">
      <c r="A9" s="8" t="s">
        <v>63</v>
      </c>
      <c r="B9" s="18">
        <v>6</v>
      </c>
      <c r="C9" s="18">
        <v>6</v>
      </c>
      <c r="D9" s="18">
        <v>6</v>
      </c>
      <c r="E9" s="24" t="s">
        <v>64</v>
      </c>
    </row>
    <row r="10" spans="1:5" x14ac:dyDescent="0.25">
      <c r="A10" s="8" t="s">
        <v>65</v>
      </c>
      <c r="B10" s="20">
        <f>ROUNDUP(B8/B9,0)</f>
        <v>1</v>
      </c>
      <c r="C10" s="20">
        <f>ROUNDUP(C8/C9,0)</f>
        <v>2</v>
      </c>
      <c r="D10" s="20">
        <f>ROUNDUP(D8/D9,0)</f>
        <v>4</v>
      </c>
      <c r="E10" s="25" t="s">
        <v>136</v>
      </c>
    </row>
    <row r="11" spans="1:5" ht="28.5" x14ac:dyDescent="0.25">
      <c r="A11" s="8" t="s">
        <v>66</v>
      </c>
      <c r="B11" s="18">
        <v>1</v>
      </c>
      <c r="C11" s="18">
        <v>1</v>
      </c>
      <c r="D11" s="18">
        <v>1</v>
      </c>
      <c r="E11" s="24" t="s">
        <v>137</v>
      </c>
    </row>
    <row r="12" spans="1:5" ht="42.75" x14ac:dyDescent="0.25">
      <c r="A12" s="8" t="s">
        <v>56</v>
      </c>
      <c r="B12" s="20">
        <f>B10+B11</f>
        <v>2</v>
      </c>
      <c r="C12" s="20">
        <f>C10+C11</f>
        <v>3</v>
      </c>
      <c r="D12" s="20">
        <f>D10+D11</f>
        <v>5</v>
      </c>
      <c r="E12" s="24" t="s">
        <v>138</v>
      </c>
    </row>
    <row r="14" spans="1:5" x14ac:dyDescent="0.25">
      <c r="A14" s="4" t="s">
        <v>67</v>
      </c>
    </row>
    <row r="15" spans="1:5" ht="30" customHeight="1" x14ac:dyDescent="0.25">
      <c r="A15" s="2" t="s">
        <v>68</v>
      </c>
      <c r="B15" s="2"/>
      <c r="C15" s="2"/>
      <c r="D15" s="2"/>
      <c r="E15" s="2"/>
    </row>
    <row r="16" spans="1:5" ht="30" customHeight="1" x14ac:dyDescent="0.25">
      <c r="A16" s="2" t="s">
        <v>69</v>
      </c>
      <c r="B16" s="2"/>
      <c r="C16" s="2"/>
      <c r="D16" s="2"/>
      <c r="E16" s="2"/>
    </row>
    <row r="17" spans="1:5" ht="30" customHeight="1" x14ac:dyDescent="0.25">
      <c r="A17" s="26" t="s">
        <v>139</v>
      </c>
      <c r="B17" s="2"/>
      <c r="C17" s="2"/>
      <c r="D17" s="2"/>
      <c r="E17" s="2"/>
    </row>
    <row r="19" spans="1:5" x14ac:dyDescent="0.25">
      <c r="A19" s="4" t="s">
        <v>70</v>
      </c>
    </row>
    <row r="20" spans="1:5" x14ac:dyDescent="0.25">
      <c r="A20" s="7" t="s">
        <v>15</v>
      </c>
      <c r="B20" s="7" t="s">
        <v>17</v>
      </c>
      <c r="C20" s="7"/>
      <c r="D20" s="7"/>
      <c r="E20" s="7" t="s">
        <v>71</v>
      </c>
    </row>
    <row r="21" spans="1:5" ht="42.75" x14ac:dyDescent="0.25">
      <c r="A21" s="25" t="s">
        <v>72</v>
      </c>
      <c r="B21" s="21">
        <v>116776</v>
      </c>
      <c r="E21" s="6" t="s">
        <v>73</v>
      </c>
    </row>
    <row r="22" spans="1:5" ht="28.5" x14ac:dyDescent="0.25">
      <c r="A22" s="8" t="s">
        <v>74</v>
      </c>
      <c r="B22" s="21">
        <v>18246</v>
      </c>
      <c r="E22" s="24" t="s">
        <v>161</v>
      </c>
    </row>
    <row r="23" spans="1:5" x14ac:dyDescent="0.25">
      <c r="A23" s="30" t="s">
        <v>159</v>
      </c>
      <c r="B23" s="9">
        <f>B21-4*B22</f>
        <v>43792</v>
      </c>
      <c r="E23" s="24" t="s">
        <v>75</v>
      </c>
    </row>
    <row r="24" spans="1:5" ht="28.5" x14ac:dyDescent="0.25">
      <c r="A24" s="8" t="s">
        <v>76</v>
      </c>
      <c r="B24" s="21">
        <v>2000</v>
      </c>
      <c r="E24" s="24" t="s">
        <v>163</v>
      </c>
    </row>
    <row r="25" spans="1:5" ht="28.5" x14ac:dyDescent="0.25">
      <c r="A25" s="30" t="s">
        <v>160</v>
      </c>
      <c r="B25" s="21">
        <v>18083</v>
      </c>
      <c r="E25" s="24" t="s">
        <v>77</v>
      </c>
    </row>
    <row r="26" spans="1:5" x14ac:dyDescent="0.25">
      <c r="A26" s="8" t="s">
        <v>78</v>
      </c>
      <c r="B26" s="21">
        <v>4000</v>
      </c>
      <c r="E26" s="35" t="s">
        <v>164</v>
      </c>
    </row>
    <row r="27" spans="1:5" x14ac:dyDescent="0.25">
      <c r="A27" s="8" t="s">
        <v>79</v>
      </c>
      <c r="B27" s="9">
        <f>B25+B26</f>
        <v>22083</v>
      </c>
      <c r="E27" s="24" t="s">
        <v>140</v>
      </c>
    </row>
    <row r="28" spans="1:5" ht="28.5" x14ac:dyDescent="0.25">
      <c r="A28" s="8" t="s">
        <v>80</v>
      </c>
      <c r="B28" s="21">
        <v>3515</v>
      </c>
      <c r="E28" s="6" t="s">
        <v>81</v>
      </c>
    </row>
    <row r="29" spans="1:5" x14ac:dyDescent="0.25">
      <c r="A29" s="8" t="s">
        <v>82</v>
      </c>
      <c r="B29" s="21">
        <v>1000</v>
      </c>
      <c r="E29" s="35" t="s">
        <v>162</v>
      </c>
    </row>
    <row r="31" spans="1:5" x14ac:dyDescent="0.25">
      <c r="A31" s="4" t="s">
        <v>83</v>
      </c>
    </row>
    <row r="32" spans="1:5" x14ac:dyDescent="0.25">
      <c r="A32" s="7" t="s">
        <v>15</v>
      </c>
      <c r="B32" s="7" t="s">
        <v>84</v>
      </c>
      <c r="C32" s="7"/>
      <c r="D32" s="7"/>
      <c r="E32" s="7" t="s">
        <v>85</v>
      </c>
    </row>
    <row r="33" spans="1:5" x14ac:dyDescent="0.25">
      <c r="A33" s="8" t="s">
        <v>86</v>
      </c>
      <c r="B33" s="22">
        <v>600</v>
      </c>
      <c r="E33" s="6" t="s">
        <v>87</v>
      </c>
    </row>
    <row r="34" spans="1:5" x14ac:dyDescent="0.25">
      <c r="A34" s="8" t="s">
        <v>88</v>
      </c>
      <c r="B34" s="22">
        <v>900</v>
      </c>
      <c r="E34" s="6" t="s">
        <v>89</v>
      </c>
    </row>
    <row r="35" spans="1:5" x14ac:dyDescent="0.25">
      <c r="A35" s="8" t="s">
        <v>90</v>
      </c>
      <c r="B35" s="22">
        <v>400</v>
      </c>
      <c r="E35" s="35" t="s">
        <v>91</v>
      </c>
    </row>
    <row r="36" spans="1:5" x14ac:dyDescent="0.25">
      <c r="A36" s="8" t="s">
        <v>44</v>
      </c>
      <c r="B36" s="22">
        <v>250</v>
      </c>
      <c r="E36" s="35" t="s">
        <v>91</v>
      </c>
    </row>
    <row r="38" spans="1:5" x14ac:dyDescent="0.25">
      <c r="A38" s="4" t="s">
        <v>92</v>
      </c>
    </row>
    <row r="39" spans="1:5" ht="30" customHeight="1" x14ac:dyDescent="0.25">
      <c r="A39" s="26" t="s">
        <v>141</v>
      </c>
      <c r="B39" s="2"/>
      <c r="C39" s="2"/>
      <c r="D39" s="2"/>
      <c r="E39" s="2"/>
    </row>
    <row r="40" spans="1:5" ht="30" customHeight="1" x14ac:dyDescent="0.25">
      <c r="A40" s="26" t="s">
        <v>93</v>
      </c>
      <c r="B40" s="2"/>
      <c r="C40" s="2"/>
      <c r="D40" s="2"/>
      <c r="E40" s="2"/>
    </row>
    <row r="41" spans="1:5" ht="30" customHeight="1" x14ac:dyDescent="0.25">
      <c r="A41" s="26" t="s">
        <v>142</v>
      </c>
      <c r="B41" s="2"/>
      <c r="C41" s="2"/>
      <c r="D41" s="2"/>
      <c r="E41" s="2"/>
    </row>
    <row r="42" spans="1:5" ht="30" customHeight="1" x14ac:dyDescent="0.25">
      <c r="A42" s="26" t="s">
        <v>143</v>
      </c>
      <c r="B42" s="2"/>
      <c r="C42" s="2"/>
      <c r="D42" s="2"/>
      <c r="E42" s="2"/>
    </row>
    <row r="43" spans="1:5" ht="30" customHeight="1" x14ac:dyDescent="0.25">
      <c r="A43" s="27" t="s">
        <v>144</v>
      </c>
      <c r="B43" s="2"/>
      <c r="C43" s="2"/>
      <c r="D43" s="2"/>
      <c r="E43" s="2"/>
    </row>
    <row r="45" spans="1:5" x14ac:dyDescent="0.25">
      <c r="A45" s="4" t="s">
        <v>94</v>
      </c>
    </row>
    <row r="46" spans="1:5" ht="30" customHeight="1" x14ac:dyDescent="0.25">
      <c r="A46" s="26" t="s">
        <v>145</v>
      </c>
      <c r="B46" s="2"/>
      <c r="C46" s="2"/>
      <c r="D46" s="2"/>
      <c r="E46" s="2"/>
    </row>
  </sheetData>
  <mergeCells count="9">
    <mergeCell ref="A41:E41"/>
    <mergeCell ref="A42:E42"/>
    <mergeCell ref="A43:E43"/>
    <mergeCell ref="A46:E46"/>
    <mergeCell ref="A15:E15"/>
    <mergeCell ref="A16:E16"/>
    <mergeCell ref="A17:E17"/>
    <mergeCell ref="A39:E39"/>
    <mergeCell ref="A40:E40"/>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tabSelected="1" zoomScaleNormal="100" workbookViewId="0">
      <selection activeCell="C19" sqref="C19"/>
    </sheetView>
  </sheetViews>
  <sheetFormatPr defaultColWidth="8.7109375" defaultRowHeight="15" customHeight="1" x14ac:dyDescent="0.25"/>
  <cols>
    <col min="1" max="1" width="30" customWidth="1"/>
    <col min="2" max="2" width="46" customWidth="1"/>
    <col min="3" max="3" width="22" customWidth="1"/>
    <col min="4" max="4" width="46" customWidth="1"/>
  </cols>
  <sheetData>
    <row r="1" spans="1:4" ht="16.5" x14ac:dyDescent="0.25">
      <c r="A1" s="3" t="s">
        <v>95</v>
      </c>
    </row>
    <row r="3" spans="1:4" x14ac:dyDescent="0.25">
      <c r="A3" s="7" t="s">
        <v>96</v>
      </c>
      <c r="B3" s="7" t="s">
        <v>97</v>
      </c>
      <c r="C3" s="7" t="s">
        <v>98</v>
      </c>
      <c r="D3" s="7" t="s">
        <v>99</v>
      </c>
    </row>
    <row r="4" spans="1:4" ht="28.5" x14ac:dyDescent="0.25">
      <c r="A4" s="6" t="s">
        <v>100</v>
      </c>
      <c r="B4" s="6" t="s">
        <v>101</v>
      </c>
      <c r="C4" s="6" t="s">
        <v>102</v>
      </c>
      <c r="D4" s="6" t="s">
        <v>103</v>
      </c>
    </row>
    <row r="5" spans="1:4" ht="28.5" x14ac:dyDescent="0.25">
      <c r="A5" s="6" t="s">
        <v>104</v>
      </c>
      <c r="B5" s="6" t="s">
        <v>105</v>
      </c>
      <c r="C5" s="6" t="s">
        <v>102</v>
      </c>
      <c r="D5" s="6" t="s">
        <v>106</v>
      </c>
    </row>
    <row r="6" spans="1:4" ht="28.5" x14ac:dyDescent="0.25">
      <c r="A6" s="6" t="s">
        <v>107</v>
      </c>
      <c r="B6" s="6" t="s">
        <v>108</v>
      </c>
      <c r="C6" s="6" t="s">
        <v>109</v>
      </c>
      <c r="D6" s="6" t="s">
        <v>110</v>
      </c>
    </row>
    <row r="7" spans="1:4" x14ac:dyDescent="0.25">
      <c r="A7" s="6" t="s">
        <v>111</v>
      </c>
      <c r="B7" s="6" t="s">
        <v>112</v>
      </c>
      <c r="C7" s="6" t="s">
        <v>113</v>
      </c>
      <c r="D7" s="6"/>
    </row>
    <row r="8" spans="1:4" ht="28.5" x14ac:dyDescent="0.25">
      <c r="A8" s="6" t="s">
        <v>114</v>
      </c>
      <c r="B8" s="6" t="s">
        <v>115</v>
      </c>
      <c r="C8" s="6" t="s">
        <v>116</v>
      </c>
      <c r="D8" s="6" t="s">
        <v>117</v>
      </c>
    </row>
    <row r="9" spans="1:4" x14ac:dyDescent="0.25">
      <c r="A9" s="6" t="s">
        <v>118</v>
      </c>
      <c r="B9" s="6" t="s">
        <v>119</v>
      </c>
      <c r="C9" s="6" t="s">
        <v>102</v>
      </c>
      <c r="D9" s="6" t="s">
        <v>120</v>
      </c>
    </row>
    <row r="10" spans="1:4" x14ac:dyDescent="0.25">
      <c r="A10" s="6" t="s">
        <v>121</v>
      </c>
      <c r="B10" s="6" t="s">
        <v>122</v>
      </c>
      <c r="C10" s="6" t="s">
        <v>102</v>
      </c>
      <c r="D10" s="6" t="s">
        <v>123</v>
      </c>
    </row>
    <row r="11" spans="1:4" x14ac:dyDescent="0.25">
      <c r="A11" s="6" t="s">
        <v>124</v>
      </c>
      <c r="B11" s="6" t="s">
        <v>125</v>
      </c>
      <c r="C11" s="6" t="s">
        <v>102</v>
      </c>
      <c r="D11" s="6"/>
    </row>
    <row r="12" spans="1:4" x14ac:dyDescent="0.25">
      <c r="A12" s="6" t="s">
        <v>126</v>
      </c>
      <c r="B12" s="6" t="s">
        <v>127</v>
      </c>
      <c r="C12" s="6" t="s">
        <v>128</v>
      </c>
      <c r="D12" s="6"/>
    </row>
    <row r="13" spans="1:4" ht="28.5" x14ac:dyDescent="0.25">
      <c r="A13" s="6" t="s">
        <v>129</v>
      </c>
      <c r="B13" s="6" t="s">
        <v>130</v>
      </c>
      <c r="C13" s="6" t="s">
        <v>113</v>
      </c>
      <c r="D13" s="6" t="s">
        <v>131</v>
      </c>
    </row>
    <row r="14" spans="1:4" x14ac:dyDescent="0.25">
      <c r="A14" s="6" t="s">
        <v>132</v>
      </c>
      <c r="B14" s="6" t="s">
        <v>133</v>
      </c>
      <c r="C14" s="6" t="s">
        <v>113</v>
      </c>
      <c r="D14" s="6"/>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Template/>
  <TotalTime>2842</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BOM</vt:lpstr>
      <vt:lpstr>Assumptions</vt:lpstr>
      <vt:lpstr>Software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ian.h.tomes.ctr@army.mil</dc:creator>
  <dc:description/>
  <cp:lastModifiedBy>Tomes, Ian H CTR (USA)</cp:lastModifiedBy>
  <cp:revision>1</cp:revision>
  <dcterms:created xsi:type="dcterms:W3CDTF">2026-10-23T17:41:02Z</dcterms:created>
  <dcterms:modified xsi:type="dcterms:W3CDTF">2026-10-27T12:39:36Z</dcterms:modified>
  <dc:language>en-US</dc:language>
</cp:coreProperties>
</file>